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yan\OneDrive\Pictures\Documents\Desktop\"/>
    </mc:Choice>
  </mc:AlternateContent>
  <xr:revisionPtr revIDLastSave="0" documentId="8_{4EAC508C-E526-4F2F-B9C4-F779649D695B}" xr6:coauthVersionLast="47" xr6:coauthVersionMax="47" xr10:uidLastSave="{00000000-0000-0000-0000-000000000000}"/>
  <bookViews>
    <workbookView xWindow="-108" yWindow="-108" windowWidth="23256" windowHeight="12456" activeTab="3" xr2:uid="{ADD7AC84-ADEF-4A9D-9FB3-E96D8633C2A3}"/>
  </bookViews>
  <sheets>
    <sheet name="KPI  Dashboard" sheetId="2" r:id="rId1"/>
    <sheet name="Category_Analysis" sheetId="3" r:id="rId2"/>
    <sheet name="Sheet5" sheetId="5" r:id="rId3"/>
    <sheet name="Sales_Master_Data" sheetId="1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2" i="1"/>
  <c r="C2" i="2" l="1"/>
  <c r="A2" i="2"/>
</calcChain>
</file>

<file path=xl/sharedStrings.xml><?xml version="1.0" encoding="utf-8"?>
<sst xmlns="http://schemas.openxmlformats.org/spreadsheetml/2006/main" count="267" uniqueCount="183">
  <si>
    <t>ORDER ID</t>
  </si>
  <si>
    <t>DATE</t>
  </si>
  <si>
    <t>CUSTOMER</t>
  </si>
  <si>
    <t>PRODUCT</t>
  </si>
  <si>
    <t>CITIES</t>
  </si>
  <si>
    <t>QUANTITY</t>
  </si>
  <si>
    <t>PRICE</t>
  </si>
  <si>
    <t xml:space="preserve">TOTAL SALES </t>
  </si>
  <si>
    <t>CATEGORY</t>
  </si>
  <si>
    <t>PAYMENT</t>
  </si>
  <si>
    <t>OD0001</t>
  </si>
  <si>
    <t>OD0002</t>
  </si>
  <si>
    <t>OD0003</t>
  </si>
  <si>
    <t>OD0004</t>
  </si>
  <si>
    <t>OD0005</t>
  </si>
  <si>
    <t>OD0006</t>
  </si>
  <si>
    <t>OD0007</t>
  </si>
  <si>
    <t>OD0008</t>
  </si>
  <si>
    <t>OD0009</t>
  </si>
  <si>
    <t>OD0010</t>
  </si>
  <si>
    <t>OD0011</t>
  </si>
  <si>
    <t>OD0012</t>
  </si>
  <si>
    <t>OD0013</t>
  </si>
  <si>
    <t>OD0014</t>
  </si>
  <si>
    <t>OD0015</t>
  </si>
  <si>
    <t>OD0016</t>
  </si>
  <si>
    <t>OD0017</t>
  </si>
  <si>
    <t>OD0018</t>
  </si>
  <si>
    <t>OD0019</t>
  </si>
  <si>
    <t>OD0020</t>
  </si>
  <si>
    <t>OD0021</t>
  </si>
  <si>
    <t>OD0022</t>
  </si>
  <si>
    <t>OD0023</t>
  </si>
  <si>
    <t>OD0024</t>
  </si>
  <si>
    <t>OD0025</t>
  </si>
  <si>
    <t>OD0026</t>
  </si>
  <si>
    <t>OD0027</t>
  </si>
  <si>
    <t>OD0028</t>
  </si>
  <si>
    <t>OD0029</t>
  </si>
  <si>
    <t>OD0030</t>
  </si>
  <si>
    <t>OD0031</t>
  </si>
  <si>
    <t>OD0032</t>
  </si>
  <si>
    <t>OD0033</t>
  </si>
  <si>
    <t>OD0034</t>
  </si>
  <si>
    <t>OD0035</t>
  </si>
  <si>
    <t>OD0036</t>
  </si>
  <si>
    <t>OD0037</t>
  </si>
  <si>
    <t>OD0038</t>
  </si>
  <si>
    <t>OD0039</t>
  </si>
  <si>
    <t>OD0040</t>
  </si>
  <si>
    <t>NEHA</t>
  </si>
  <si>
    <t>KARTIK</t>
  </si>
  <si>
    <t>AMAN</t>
  </si>
  <si>
    <t>NIKITA</t>
  </si>
  <si>
    <t>SAMEER</t>
  </si>
  <si>
    <t>MAHIMA</t>
  </si>
  <si>
    <t>MAHI</t>
  </si>
  <si>
    <t>MUKESH</t>
  </si>
  <si>
    <t>ANAMIKA</t>
  </si>
  <si>
    <t>AMRITA</t>
  </si>
  <si>
    <t>MEHUL</t>
  </si>
  <si>
    <t>KASHI</t>
  </si>
  <si>
    <t>SHASHI</t>
  </si>
  <si>
    <t>PAKHI</t>
  </si>
  <si>
    <t>SHRUTI</t>
  </si>
  <si>
    <t>SIMA</t>
  </si>
  <si>
    <t>SHIKHA</t>
  </si>
  <si>
    <t>ANMOL</t>
  </si>
  <si>
    <t>ANITA</t>
  </si>
  <si>
    <t>ANKIT</t>
  </si>
  <si>
    <t>ANKITA</t>
  </si>
  <si>
    <t>TARUN</t>
  </si>
  <si>
    <t>ANSHU</t>
  </si>
  <si>
    <t>SHANKAR</t>
  </si>
  <si>
    <t>MANAN</t>
  </si>
  <si>
    <t>NISTHA</t>
  </si>
  <si>
    <t>SARITA</t>
  </si>
  <si>
    <t>SAHIL</t>
  </si>
  <si>
    <t>NIHAL</t>
  </si>
  <si>
    <t>MEHEK</t>
  </si>
  <si>
    <t>PUNEET</t>
  </si>
  <si>
    <t>EKANSH</t>
  </si>
  <si>
    <t>NAMAN</t>
  </si>
  <si>
    <t>AARTI</t>
  </si>
  <si>
    <t>AMRIT</t>
  </si>
  <si>
    <t>RAJVEER</t>
  </si>
  <si>
    <t>SIYA</t>
  </si>
  <si>
    <t>SONAL</t>
  </si>
  <si>
    <t>AKANSHA</t>
  </si>
  <si>
    <t>Toyota Fortuner</t>
  </si>
  <si>
    <t>SUV</t>
  </si>
  <si>
    <t>Jaipur</t>
  </si>
  <si>
    <t>Hyundai creta</t>
  </si>
  <si>
    <t>Ajmer</t>
  </si>
  <si>
    <t>Honda city</t>
  </si>
  <si>
    <t>Sedan</t>
  </si>
  <si>
    <t>Hyundai verna</t>
  </si>
  <si>
    <t>Maruti Swift</t>
  </si>
  <si>
    <t>Hatchback</t>
  </si>
  <si>
    <t>Delhi</t>
  </si>
  <si>
    <t>Mumbai</t>
  </si>
  <si>
    <t>Kolkata</t>
  </si>
  <si>
    <t>chennai</t>
  </si>
  <si>
    <t>Bengaluru</t>
  </si>
  <si>
    <t>Hyderabad</t>
  </si>
  <si>
    <t>Pune</t>
  </si>
  <si>
    <t>Lucknow</t>
  </si>
  <si>
    <t>Kanpur</t>
  </si>
  <si>
    <t>Nagpur</t>
  </si>
  <si>
    <t>Indore</t>
  </si>
  <si>
    <t>Bhopal</t>
  </si>
  <si>
    <t>Patna</t>
  </si>
  <si>
    <t>Varanasi</t>
  </si>
  <si>
    <t>Surat</t>
  </si>
  <si>
    <t>Rajkot</t>
  </si>
  <si>
    <t>Coimbatore</t>
  </si>
  <si>
    <t>Kochi</t>
  </si>
  <si>
    <t>Trivandrum</t>
  </si>
  <si>
    <t>Udaipur</t>
  </si>
  <si>
    <t>Vijayawada</t>
  </si>
  <si>
    <t>Guwahati</t>
  </si>
  <si>
    <t>Shillong</t>
  </si>
  <si>
    <t>Chandigarh</t>
  </si>
  <si>
    <t>Amritsar</t>
  </si>
  <si>
    <t>Jodhpur</t>
  </si>
  <si>
    <t>Dehradun</t>
  </si>
  <si>
    <t>Ranchi</t>
  </si>
  <si>
    <t>Raipur</t>
  </si>
  <si>
    <t>Bhuwaneshwar</t>
  </si>
  <si>
    <t>Cuttack</t>
  </si>
  <si>
    <t>Mysuru</t>
  </si>
  <si>
    <t>Madhurai</t>
  </si>
  <si>
    <t>Agra</t>
  </si>
  <si>
    <t>Meerut</t>
  </si>
  <si>
    <t>Jamshedpur</t>
  </si>
  <si>
    <t>Hyundai i20</t>
  </si>
  <si>
    <t>Mahindra thar</t>
  </si>
  <si>
    <t>Skoda Slavia</t>
  </si>
  <si>
    <t>BMW 3 series</t>
  </si>
  <si>
    <t>Lexus ES</t>
  </si>
  <si>
    <t>Mercedes c-class</t>
  </si>
  <si>
    <t>Tata Harrier</t>
  </si>
  <si>
    <t>Jeep compass</t>
  </si>
  <si>
    <t>Toyota hyryder</t>
  </si>
  <si>
    <t>Maruti Baleno</t>
  </si>
  <si>
    <t>Renault Kwid</t>
  </si>
  <si>
    <t>Tata altroz</t>
  </si>
  <si>
    <t>Tata Tiago</t>
  </si>
  <si>
    <t>MG Hector</t>
  </si>
  <si>
    <t>Mahindra scorpio-n</t>
  </si>
  <si>
    <t>Kia Seltos</t>
  </si>
  <si>
    <t>Maruti Ciaz</t>
  </si>
  <si>
    <t>Toyota Camry</t>
  </si>
  <si>
    <t>Maruti wagonr</t>
  </si>
  <si>
    <t>Citroen C3</t>
  </si>
  <si>
    <t>Toyota Glanza</t>
  </si>
  <si>
    <t>Maruti Alto K10</t>
  </si>
  <si>
    <t>MG ZS EV</t>
  </si>
  <si>
    <t>Electric</t>
  </si>
  <si>
    <t>TATA Nexon ev</t>
  </si>
  <si>
    <t>Hyundai IONIQ 5</t>
  </si>
  <si>
    <t>Kia EV6</t>
  </si>
  <si>
    <t>Mercedes EQS</t>
  </si>
  <si>
    <t>BMW i7</t>
  </si>
  <si>
    <t>Mahindra XUV400</t>
  </si>
  <si>
    <t>Volvo XC40 Recharge</t>
  </si>
  <si>
    <t>BYD Atto 3</t>
  </si>
  <si>
    <t>Volkswagan virtus</t>
  </si>
  <si>
    <t>Audi e - tron</t>
  </si>
  <si>
    <t>Audi A4</t>
  </si>
  <si>
    <t>TATA  Nexon</t>
  </si>
  <si>
    <t>Online</t>
  </si>
  <si>
    <t>Loan</t>
  </si>
  <si>
    <t>Bank transfer</t>
  </si>
  <si>
    <t>EMI</t>
  </si>
  <si>
    <t>Row Labels</t>
  </si>
  <si>
    <t>Grand Total</t>
  </si>
  <si>
    <t xml:space="preserve">Sum of TOTAL SALES </t>
  </si>
  <si>
    <t>Total Revenue</t>
  </si>
  <si>
    <t>Total Orders</t>
  </si>
  <si>
    <t>Avg Order Value</t>
  </si>
  <si>
    <t>Vadodara</t>
  </si>
  <si>
    <t>Ahmedabad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</si>
</sst>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2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/>
    <xf numFmtId="164" fontId="2" fillId="3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4" borderId="0" xfId="0" applyFill="1" applyAlignment="1">
      <alignment horizontal="center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numFmt numFmtId="164" formatCode="&quot;₹&quot;\ #,##0.00"/>
    </dxf>
    <dxf>
      <numFmt numFmtId="164" formatCode="&quot;₹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[Aanchal  Automobile Sales dashboard.xlsx]Sheet5!PivotTable1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Payment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Sheet5!$A$4:$A$8</c:f>
              <c:strCache>
                <c:ptCount val="4"/>
                <c:pt idx="0">
                  <c:v>Bank transfer</c:v>
                </c:pt>
                <c:pt idx="1">
                  <c:v>EMI</c:v>
                </c:pt>
                <c:pt idx="2">
                  <c:v>Loan</c:v>
                </c:pt>
                <c:pt idx="3">
                  <c:v>Online</c:v>
                </c:pt>
              </c:strCache>
            </c:strRef>
          </c:cat>
          <c:val>
            <c:numRef>
              <c:f>Sheet5!$B$4:$B$8</c:f>
              <c:numCache>
                <c:formatCode>"₹"\ #,##0.00</c:formatCode>
                <c:ptCount val="4"/>
                <c:pt idx="0">
                  <c:v>266140000</c:v>
                </c:pt>
                <c:pt idx="1">
                  <c:v>11011000</c:v>
                </c:pt>
                <c:pt idx="2">
                  <c:v>46703000</c:v>
                </c:pt>
                <c:pt idx="3">
                  <c:v>40370000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05-49F9-8207-228E044B3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8515936"/>
        <c:axId val="1478532736"/>
      </c:barChart>
      <c:catAx>
        <c:axId val="1478515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532736"/>
        <c:crosses val="autoZero"/>
        <c:auto val="1"/>
        <c:lblAlgn val="ctr"/>
        <c:lblOffset val="100"/>
        <c:noMultiLvlLbl val="0"/>
      </c:catAx>
      <c:valAx>
        <c:axId val="147853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515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[Aanchal  Automobile Sales dashboard.xlsx]Category_Analysis!PivotTable2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Category_Analysis!$A$4:$A$8</c:f>
              <c:strCache>
                <c:ptCount val="4"/>
                <c:pt idx="0">
                  <c:v>Electric</c:v>
                </c:pt>
                <c:pt idx="1">
                  <c:v>Hatchback</c:v>
                </c:pt>
                <c:pt idx="2">
                  <c:v>Sedan</c:v>
                </c:pt>
                <c:pt idx="3">
                  <c:v>SUV</c:v>
                </c:pt>
              </c:strCache>
            </c:strRef>
          </c:cat>
          <c:val>
            <c:numRef>
              <c:f>Category_Analysis!$B$4:$B$8</c:f>
              <c:numCache>
                <c:formatCode>"₹"\ #,##0.00</c:formatCode>
                <c:ptCount val="4"/>
                <c:pt idx="0">
                  <c:v>177650000</c:v>
                </c:pt>
                <c:pt idx="1">
                  <c:v>26099000</c:v>
                </c:pt>
                <c:pt idx="2">
                  <c:v>104065000</c:v>
                </c:pt>
                <c:pt idx="3">
                  <c:v>56410000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CD-4969-B44A-E245903B9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718879"/>
        <c:axId val="1978719359"/>
      </c:barChart>
      <c:catAx>
        <c:axId val="1978718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719359"/>
        <c:crosses val="autoZero"/>
        <c:auto val="1"/>
        <c:lblAlgn val="ctr"/>
        <c:lblOffset val="100"/>
        <c:noMultiLvlLbl val="0"/>
      </c:catAx>
      <c:valAx>
        <c:axId val="197871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71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579120</xdr:colOff>
      <xdr:row>1</xdr:row>
      <xdr:rowOff>99060</xdr:rowOff>
    </xdr:from>
    <xdr:to>
      <xdr:col>14</xdr:col>
      <xdr:colOff>502920</xdr:colOff>
      <xdr:row>21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61D56A-1375-42ED-BA74-2667281841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487680</xdr:colOff>
      <xdr:row>1</xdr:row>
      <xdr:rowOff>53340</xdr:rowOff>
    </xdr:from>
    <xdr:to>
      <xdr:col>15</xdr:col>
      <xdr:colOff>228600</xdr:colOff>
      <xdr:row>26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D0CFA2-179C-58A8-8649-ADAFCE8421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yan Murmu" refreshedDate="46113.683232407406" createdVersion="8" refreshedVersion="8" minRefreshableVersion="3" recordCount="40" xr:uid="{A23B5F67-BF94-44EF-BA3E-3D9FF8E9F5E3}">
  <cacheSource type="worksheet">
    <worksheetSource name="Table1"/>
  </cacheSource>
  <cacheFields count="10">
    <cacheField name="ORDER ID" numFmtId="0">
      <sharedItems/>
    </cacheField>
    <cacheField name="DATE" numFmtId="14">
      <sharedItems containsSemiMixedTypes="0" containsNonDate="0" containsDate="1" containsString="0" minDate="2026-01-25T00:00:00" maxDate="2026-03-06T00:00:00"/>
    </cacheField>
    <cacheField name="CUSTOMER" numFmtId="0">
      <sharedItems/>
    </cacheField>
    <cacheField name="PRODUCT" numFmtId="0">
      <sharedItems/>
    </cacheField>
    <cacheField name="CATEGORY" numFmtId="0">
      <sharedItems count="4">
        <s v="SUV"/>
        <s v="Sedan"/>
        <s v="Hatchback"/>
        <s v="Electric"/>
      </sharedItems>
    </cacheField>
    <cacheField name="CITIES" numFmtId="0">
      <sharedItems/>
    </cacheField>
    <cacheField name="QUANTITY" numFmtId="0">
      <sharedItems containsSemiMixedTypes="0" containsString="0" containsNumber="1" containsInteger="1" minValue="1" maxValue="8"/>
    </cacheField>
    <cacheField name="PRICE" numFmtId="164">
      <sharedItems containsSemiMixedTypes="0" containsString="0" containsNumber="1" containsInteger="1" minValue="399000" maxValue="21300000"/>
    </cacheField>
    <cacheField name="TOTAL SALES " numFmtId="164">
      <sharedItems containsSemiMixedTypes="0" containsString="0" containsNumber="1" containsInteger="1" minValue="1100000" maxValue="48600000"/>
    </cacheField>
    <cacheField name="PAYMENT" numFmtId="0">
      <sharedItems count="4">
        <s v="Online"/>
        <s v="Loan"/>
        <s v="Bank transfer"/>
        <s v="EM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OD0001"/>
    <d v="2026-01-25T00:00:00"/>
    <s v="NEHA"/>
    <s v="Toyota Fortuner"/>
    <x v="0"/>
    <s v="Jaipur"/>
    <n v="2"/>
    <n v="3350000"/>
    <n v="6700000"/>
    <x v="0"/>
  </r>
  <r>
    <s v="OD0002"/>
    <d v="2026-01-26T00:00:00"/>
    <s v="AKANSHA"/>
    <s v="Hyundai creta"/>
    <x v="0"/>
    <s v="Ajmer"/>
    <n v="3"/>
    <n v="1100000"/>
    <n v="3300000"/>
    <x v="0"/>
  </r>
  <r>
    <s v="OD0003"/>
    <d v="2026-01-27T00:00:00"/>
    <s v="SAMEER"/>
    <s v="Honda city"/>
    <x v="1"/>
    <s v="Jamshedpur"/>
    <n v="5"/>
    <n v="1185000"/>
    <n v="5925000"/>
    <x v="0"/>
  </r>
  <r>
    <s v="OD0004"/>
    <d v="2026-01-28T00:00:00"/>
    <s v="SHRUTI"/>
    <s v="Hyundai verna"/>
    <x v="1"/>
    <s v="Meerut"/>
    <n v="1"/>
    <n v="1100000"/>
    <n v="1100000"/>
    <x v="0"/>
  </r>
  <r>
    <s v="OD0005"/>
    <d v="2026-01-29T00:00:00"/>
    <s v="SIMA"/>
    <s v="Maruti Swift"/>
    <x v="2"/>
    <s v="Delhi"/>
    <n v="4"/>
    <n v="650000"/>
    <n v="2600000"/>
    <x v="1"/>
  </r>
  <r>
    <s v="OD0006"/>
    <d v="2026-01-30T00:00:00"/>
    <s v="SHIKHA"/>
    <s v="Hyundai i20"/>
    <x v="2"/>
    <s v="Mumbai"/>
    <n v="3"/>
    <n v="700000"/>
    <n v="2100000"/>
    <x v="1"/>
  </r>
  <r>
    <s v="OD0007"/>
    <d v="2026-01-31T00:00:00"/>
    <s v="ANMOL"/>
    <s v="Mahindra thar"/>
    <x v="0"/>
    <s v="Kolkata"/>
    <n v="6"/>
    <n v="1135000"/>
    <n v="6810000"/>
    <x v="1"/>
  </r>
  <r>
    <s v="OD0008"/>
    <d v="2026-02-01T00:00:00"/>
    <s v="ANITA"/>
    <s v="Skoda Slavia"/>
    <x v="1"/>
    <s v="chennai"/>
    <n v="4"/>
    <n v="1160000"/>
    <n v="4640000"/>
    <x v="1"/>
  </r>
  <r>
    <s v="OD0009"/>
    <d v="2026-02-02T00:00:00"/>
    <s v="ANKIT"/>
    <s v="BMW 3 series"/>
    <x v="1"/>
    <s v="Bengaluru"/>
    <n v="2"/>
    <n v="7200000"/>
    <n v="14400000"/>
    <x v="2"/>
  </r>
  <r>
    <s v="OD0010"/>
    <d v="2026-02-03T00:00:00"/>
    <s v="ANKITA"/>
    <s v="Lexus ES"/>
    <x v="1"/>
    <s v="Hyderabad"/>
    <n v="4"/>
    <n v="6300000"/>
    <n v="25200000"/>
    <x v="2"/>
  </r>
  <r>
    <s v="OD0011"/>
    <d v="2026-02-04T00:00:00"/>
    <s v="MEHUL"/>
    <s v="Mercedes c-class"/>
    <x v="1"/>
    <s v="Pune"/>
    <n v="5"/>
    <n v="6100000"/>
    <n v="30500000"/>
    <x v="2"/>
  </r>
  <r>
    <s v="OD0012"/>
    <d v="2026-02-05T00:00:00"/>
    <s v="MAHIMA"/>
    <s v="Tata Harrier"/>
    <x v="0"/>
    <s v="Ahemdabad"/>
    <n v="7"/>
    <n v="1550000"/>
    <n v="10850000"/>
    <x v="2"/>
  </r>
  <r>
    <s v="OD0013"/>
    <d v="2026-02-06T00:00:00"/>
    <s v="MUKESH"/>
    <s v="Jeep compass"/>
    <x v="0"/>
    <s v="Lucknow"/>
    <n v="4"/>
    <n v="2070000"/>
    <n v="8280000"/>
    <x v="2"/>
  </r>
  <r>
    <s v="OD0014"/>
    <d v="2026-02-07T00:00:00"/>
    <s v="KASHI"/>
    <s v="Toyota hyryder"/>
    <x v="0"/>
    <s v="Kanpur"/>
    <n v="2"/>
    <n v="1115000"/>
    <n v="2230000"/>
    <x v="3"/>
  </r>
  <r>
    <s v="OD0015"/>
    <d v="2026-02-08T00:00:00"/>
    <s v="TARUN"/>
    <s v="Maruti Baleno"/>
    <x v="2"/>
    <s v="Nagpur"/>
    <n v="3"/>
    <n v="666000"/>
    <n v="1998000"/>
    <x v="1"/>
  </r>
  <r>
    <s v="OD0016"/>
    <d v="2026-02-09T00:00:00"/>
    <s v="AMAN"/>
    <s v="Renault Kwid"/>
    <x v="2"/>
    <s v="Indore"/>
    <n v="5"/>
    <n v="470000"/>
    <n v="2350000"/>
    <x v="1"/>
  </r>
  <r>
    <s v="OD0017"/>
    <d v="2026-02-10T00:00:00"/>
    <s v="AMRITA"/>
    <s v="Tata altroz"/>
    <x v="2"/>
    <s v="Bhopal"/>
    <n v="8"/>
    <n v="665000"/>
    <n v="5320000"/>
    <x v="1"/>
  </r>
  <r>
    <s v="OD0018"/>
    <d v="2026-02-11T00:00:00"/>
    <s v="ANSHU"/>
    <s v="Tata Tiago"/>
    <x v="2"/>
    <s v="Patna"/>
    <n v="7"/>
    <n v="565000"/>
    <n v="3955000"/>
    <x v="0"/>
  </r>
  <r>
    <s v="OD0019"/>
    <d v="2026-02-12T00:00:00"/>
    <s v="SHASHI"/>
    <s v="MG Hector"/>
    <x v="0"/>
    <s v="Varanasi"/>
    <n v="4"/>
    <n v="1400000"/>
    <n v="5600000"/>
    <x v="0"/>
  </r>
  <r>
    <s v="OD0020"/>
    <d v="2026-02-13T00:00:00"/>
    <s v="SHANKAR"/>
    <s v="Mahindra scorpio-n"/>
    <x v="0"/>
    <s v="Surat"/>
    <n v="5"/>
    <n v="1385000"/>
    <n v="6925000"/>
    <x v="1"/>
  </r>
  <r>
    <s v="OD0021"/>
    <d v="2026-02-14T00:00:00"/>
    <s v="MANAN"/>
    <s v="Kia Seltos"/>
    <x v="0"/>
    <s v="vadodara"/>
    <n v="3"/>
    <n v="1090000"/>
    <n v="3270000"/>
    <x v="0"/>
  </r>
  <r>
    <s v="OD0022"/>
    <d v="2026-02-15T00:00:00"/>
    <s v="MAHI"/>
    <s v="Maruti Ciaz"/>
    <x v="1"/>
    <s v="Rajkot"/>
    <n v="4"/>
    <n v="940000"/>
    <n v="3760000"/>
    <x v="2"/>
  </r>
  <r>
    <s v="OD0023"/>
    <d v="2026-02-16T00:00:00"/>
    <s v="NISTHA"/>
    <s v="Toyota Camry"/>
    <x v="1"/>
    <s v="Coimbatore"/>
    <n v="1"/>
    <n v="4600000"/>
    <n v="4600000"/>
    <x v="1"/>
  </r>
  <r>
    <s v="OD0024"/>
    <d v="2026-02-17T00:00:00"/>
    <s v="NIKITA"/>
    <s v="Maruti wagonr"/>
    <x v="2"/>
    <s v="Kochi"/>
    <n v="3"/>
    <n v="555000"/>
    <n v="1665000"/>
    <x v="0"/>
  </r>
  <r>
    <s v="OD0025"/>
    <d v="2026-02-18T00:00:00"/>
    <s v="SARITA"/>
    <s v="Citroen C3"/>
    <x v="2"/>
    <s v="Trivandrum"/>
    <n v="4"/>
    <n v="615000"/>
    <n v="2460000"/>
    <x v="1"/>
  </r>
  <r>
    <s v="OD0026"/>
    <d v="2026-02-19T00:00:00"/>
    <s v="SAHIL"/>
    <s v="Toyota Glanza"/>
    <x v="2"/>
    <s v="Udaipur"/>
    <n v="3"/>
    <n v="685000"/>
    <n v="2055000"/>
    <x v="0"/>
  </r>
  <r>
    <s v="OD0027"/>
    <d v="2026-02-20T00:00:00"/>
    <s v="SHIKHA"/>
    <s v="Maruti Alto K10"/>
    <x v="2"/>
    <s v="Vijayawada"/>
    <n v="4"/>
    <n v="399000"/>
    <n v="1596000"/>
    <x v="3"/>
  </r>
  <r>
    <s v="OD0028"/>
    <d v="2026-02-21T00:00:00"/>
    <s v="NIHAL"/>
    <s v="MG ZS EV"/>
    <x v="3"/>
    <s v="Guwahati"/>
    <n v="2"/>
    <n v="1900000"/>
    <n v="3800000"/>
    <x v="1"/>
  </r>
  <r>
    <s v="OD0029"/>
    <d v="2026-02-22T00:00:00"/>
    <s v="MEHEK"/>
    <s v="TATA Nexon ev"/>
    <x v="3"/>
    <s v="Shillong"/>
    <n v="3"/>
    <n v="1450000"/>
    <n v="4350000"/>
    <x v="2"/>
  </r>
  <r>
    <s v="OD0030"/>
    <d v="2026-02-23T00:00:00"/>
    <s v="KARTIK"/>
    <s v="Hyundai IONIQ 5"/>
    <x v="3"/>
    <s v="Chandigarh"/>
    <n v="4"/>
    <n v="4600000"/>
    <n v="18400000"/>
    <x v="2"/>
  </r>
  <r>
    <s v="OD0031"/>
    <d v="2026-02-24T00:00:00"/>
    <s v="PAKHI"/>
    <s v="Kia EV6"/>
    <x v="3"/>
    <s v="Amritsar"/>
    <n v="2"/>
    <n v="6100000"/>
    <n v="12200000"/>
    <x v="2"/>
  </r>
  <r>
    <s v="OD0032"/>
    <d v="2026-02-25T00:00:00"/>
    <s v="PUNEET"/>
    <s v="Mercedes EQS"/>
    <x v="3"/>
    <s v="Jodhpur"/>
    <n v="3"/>
    <n v="16200000"/>
    <n v="48600000"/>
    <x v="2"/>
  </r>
  <r>
    <s v="OD0033"/>
    <d v="2026-02-26T00:00:00"/>
    <s v="ANAMIKA"/>
    <s v="BMW i7"/>
    <x v="3"/>
    <s v="Dehradun"/>
    <n v="2"/>
    <n v="21300000"/>
    <n v="42600000"/>
    <x v="2"/>
  </r>
  <r>
    <s v="OD0034"/>
    <d v="2026-02-27T00:00:00"/>
    <s v="EKANSH"/>
    <s v="Mahindra XUV400"/>
    <x v="3"/>
    <s v="Ranchi"/>
    <n v="2"/>
    <n v="1550000"/>
    <n v="3100000"/>
    <x v="1"/>
  </r>
  <r>
    <s v="OD0035"/>
    <d v="2026-02-28T00:00:00"/>
    <s v="NAMAN"/>
    <s v="Volvo XC40 Recharge"/>
    <x v="3"/>
    <s v="Raipur"/>
    <n v="3"/>
    <n v="5800000"/>
    <n v="17400000"/>
    <x v="2"/>
  </r>
  <r>
    <s v="OD0036"/>
    <d v="2026-03-01T00:00:00"/>
    <s v="AARTI"/>
    <s v="BYD Atto 3"/>
    <x v="3"/>
    <s v="Bhuwaneshwar"/>
    <n v="2"/>
    <n v="3400000"/>
    <n v="6800000"/>
    <x v="0"/>
  </r>
  <r>
    <s v="OD0037"/>
    <d v="2026-03-02T00:00:00"/>
    <s v="AMRIT"/>
    <s v="Volkswagan virtus"/>
    <x v="1"/>
    <s v="Cuttack"/>
    <n v="4"/>
    <n v="1185000"/>
    <n v="4740000"/>
    <x v="3"/>
  </r>
  <r>
    <s v="OD0038"/>
    <d v="2026-03-03T00:00:00"/>
    <s v="RAJVEER"/>
    <s v="Audi e - tron"/>
    <x v="3"/>
    <s v="Mysuru"/>
    <n v="2"/>
    <n v="10200000"/>
    <n v="20400000"/>
    <x v="2"/>
  </r>
  <r>
    <s v="OD0039"/>
    <d v="2026-03-04T00:00:00"/>
    <s v="SIYA"/>
    <s v="Audi A4"/>
    <x v="1"/>
    <s v="Madhurai"/>
    <n v="2"/>
    <n v="4600000"/>
    <n v="9200000"/>
    <x v="2"/>
  </r>
  <r>
    <s v="OD0040"/>
    <d v="2026-03-05T00:00:00"/>
    <s v="SONAL"/>
    <s v="TATA  Nexon"/>
    <x v="0"/>
    <s v="Agra"/>
    <n v="3"/>
    <n v="815000"/>
    <n v="244500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EADA5A-9F48-413C-A6DD-6A84D2FF594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0">
    <pivotField showAll="0"/>
    <pivotField numFmtId="14"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numFmtId="164" showAll="0"/>
    <pivotField dataField="1" numFmtId="164" showAll="0"/>
    <pivotField showAll="0">
      <items count="5">
        <item x="2"/>
        <item x="3"/>
        <item x="1"/>
        <item x="0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 " fld="8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6DD034-BDA6-4A87-83EB-FDFCC5FDF9B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8" firstHeaderRow="1" firstDataRow="1" firstDataCol="1"/>
  <pivotFields count="10">
    <pivotField showAll="0"/>
    <pivotField numFmtId="14" showAll="0"/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showAll="0"/>
    <pivotField showAll="0"/>
    <pivotField numFmtId="164" showAll="0"/>
    <pivotField dataField="1" numFmtId="164" showAll="0"/>
    <pivotField axis="axisRow" showAll="0">
      <items count="5">
        <item x="2"/>
        <item x="3"/>
        <item x="1"/>
        <item x="0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 " fld="8" baseField="0" baseItem="0" numFmtId="164"/>
  </dataFields>
  <chartFormats count="1"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1D2506-05DD-4B12-90CF-747C428A37EF}" name="Table1" displayName="Table1" ref="A1:J41" totalsRowShown="0" dataDxfId="9">
  <autoFilter ref="A1:J41" xr:uid="{CD1D2506-05DD-4B12-90CF-747C428A37EF}"/>
  <tableColumns count="10">
    <tableColumn id="1" xr3:uid="{7B3C940B-1EBB-4CB9-90FF-EF6A26C23F8D}" name="ORDER ID"/>
    <tableColumn id="2" xr3:uid="{17A3F47E-B4C4-49BE-A054-251F518C3A75}" name="DATE" dataDxfId="8"/>
    <tableColumn id="3" xr3:uid="{DC011E85-C3CC-4DAC-9421-5275E5ACD196}" name="CUSTOMER" dataDxfId="7"/>
    <tableColumn id="4" xr3:uid="{EDB359E2-DB19-4E5E-B75A-990E79CB342D}" name="PRODUCT" dataDxfId="6"/>
    <tableColumn id="5" xr3:uid="{C4864A53-C4DC-4B15-95B4-09A85AB91E58}" name="CATEGORY" dataDxfId="5"/>
    <tableColumn id="6" xr3:uid="{00880CEC-2AF5-4DBA-8811-516BA2EE1946}" name="CITIES" dataDxfId="4"/>
    <tableColumn id="7" xr3:uid="{45D5F291-BF3F-48C2-B690-D134F9308BCE}" name="QUANTITY" dataDxfId="3"/>
    <tableColumn id="8" xr3:uid="{430EF518-54FC-4198-9C12-877E1F6C3C4E}" name="PRICE" dataDxfId="2"/>
    <tableColumn id="9" xr3:uid="{E5EBC493-3BF7-4634-84EF-902EAEF4DFC9}" name="TOTAL SALES " dataDxfId="1">
      <calculatedColumnFormula>G2*H2</calculatedColumnFormula>
    </tableColumn>
    <tableColumn id="10" xr3:uid="{5B2F2AE9-4753-4408-B60F-C8341C270E3A}" name="PAY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AB6CE-B507-4C80-8F01-28C340276006}">
  <dimension ref="A1:C2"/>
  <sheetViews>
    <sheetView showGridLines="0" workbookViewId="0">
      <selection activeCell="C2" sqref="C2"/>
    </sheetView>
  </sheetViews>
  <sheetFormatPr defaultRowHeight="14.4" x14ac:dyDescent="0.3"/>
  <cols>
    <col min="1" max="1" width="15.44140625" bestFit="1" customWidth="1"/>
    <col min="2" max="2" width="12.109375" customWidth="1"/>
    <col min="3" max="3" width="13.88671875" customWidth="1"/>
  </cols>
  <sheetData>
    <row r="1" spans="1:3" x14ac:dyDescent="0.3">
      <c r="A1" s="11" t="s">
        <v>178</v>
      </c>
      <c r="B1" s="11" t="s">
        <v>179</v>
      </c>
      <c r="C1" s="11" t="s">
        <v>180</v>
      </c>
    </row>
    <row r="2" spans="1:3" x14ac:dyDescent="0.3">
      <c r="A2" s="12">
        <f>SUM(Sales_Master_Data!I:I)</f>
        <v>364224000</v>
      </c>
      <c r="B2" s="1">
        <f>COUNTA(Sales_Master_Data!A:A)-1</f>
        <v>40</v>
      </c>
      <c r="C2" s="12">
        <f>AVERAGE(Sales_Master_Data!I:I)</f>
        <v>9105600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0D990-6F23-4596-8108-BEFFFA5C3919}">
  <dimension ref="A3:B8"/>
  <sheetViews>
    <sheetView showGridLines="0" workbookViewId="0">
      <selection activeCell="C11" sqref="C11"/>
    </sheetView>
  </sheetViews>
  <sheetFormatPr defaultRowHeight="14.4" x14ac:dyDescent="0.3"/>
  <cols>
    <col min="1" max="1" width="12.5546875" bestFit="1" customWidth="1"/>
    <col min="2" max="2" width="19.109375" bestFit="1" customWidth="1"/>
  </cols>
  <sheetData>
    <row r="3" spans="1:2" x14ac:dyDescent="0.3">
      <c r="A3" s="9" t="s">
        <v>175</v>
      </c>
      <c r="B3" t="s">
        <v>177</v>
      </c>
    </row>
    <row r="4" spans="1:2" x14ac:dyDescent="0.3">
      <c r="A4" s="10" t="s">
        <v>158</v>
      </c>
      <c r="B4" s="4">
        <v>177650000</v>
      </c>
    </row>
    <row r="5" spans="1:2" x14ac:dyDescent="0.3">
      <c r="A5" s="10" t="s">
        <v>98</v>
      </c>
      <c r="B5" s="4">
        <v>26099000</v>
      </c>
    </row>
    <row r="6" spans="1:2" x14ac:dyDescent="0.3">
      <c r="A6" s="10" t="s">
        <v>95</v>
      </c>
      <c r="B6" s="4">
        <v>104065000</v>
      </c>
    </row>
    <row r="7" spans="1:2" x14ac:dyDescent="0.3">
      <c r="A7" s="10" t="s">
        <v>90</v>
      </c>
      <c r="B7" s="4">
        <v>56410000</v>
      </c>
    </row>
    <row r="8" spans="1:2" x14ac:dyDescent="0.3">
      <c r="A8" s="10" t="s">
        <v>176</v>
      </c>
      <c r="B8" s="4">
        <v>364224000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E8CD7-AE78-499B-86B9-01F049CF3B35}">
  <dimension ref="A3:B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9.109375" bestFit="1" customWidth="1"/>
  </cols>
  <sheetData>
    <row r="3" spans="1:2" x14ac:dyDescent="0.3">
      <c r="A3" s="9" t="s">
        <v>175</v>
      </c>
      <c r="B3" t="s">
        <v>177</v>
      </c>
    </row>
    <row r="4" spans="1:2" x14ac:dyDescent="0.3">
      <c r="A4" s="10" t="s">
        <v>173</v>
      </c>
      <c r="B4" s="4">
        <v>266140000</v>
      </c>
    </row>
    <row r="5" spans="1:2" x14ac:dyDescent="0.3">
      <c r="A5" s="10" t="s">
        <v>174</v>
      </c>
      <c r="B5" s="4">
        <v>11011000</v>
      </c>
    </row>
    <row r="6" spans="1:2" x14ac:dyDescent="0.3">
      <c r="A6" s="10" t="s">
        <v>172</v>
      </c>
      <c r="B6" s="4">
        <v>46703000</v>
      </c>
    </row>
    <row r="7" spans="1:2" x14ac:dyDescent="0.3">
      <c r="A7" s="10" t="s">
        <v>171</v>
      </c>
      <c r="B7" s="4">
        <v>40370000</v>
      </c>
    </row>
    <row r="8" spans="1:2" x14ac:dyDescent="0.3">
      <c r="A8" s="10" t="s">
        <v>176</v>
      </c>
      <c r="B8" s="4">
        <v>364224000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967EF-5DFA-483A-B08F-C58834D98936}">
  <dimension ref="A1:J42"/>
  <sheetViews>
    <sheetView tabSelected="1" workbookViewId="0">
      <selection activeCell="P5" sqref="P5"/>
    </sheetView>
  </sheetViews>
  <sheetFormatPr defaultRowHeight="14.4" x14ac:dyDescent="0.3"/>
  <cols>
    <col min="1" max="1" width="10.88671875" customWidth="1"/>
    <col min="2" max="2" width="10.6640625" customWidth="1"/>
    <col min="3" max="3" width="18.6640625" customWidth="1"/>
    <col min="4" max="4" width="18.109375" customWidth="1"/>
    <col min="5" max="5" width="11.88671875" customWidth="1"/>
    <col min="6" max="6" width="13" customWidth="1"/>
    <col min="7" max="7" width="11.6640625" customWidth="1"/>
    <col min="8" max="8" width="17.33203125" customWidth="1"/>
    <col min="9" max="9" width="15.77734375" customWidth="1"/>
    <col min="10" max="10" width="13.5546875" customWidth="1"/>
    <col min="11" max="11" width="10.5546875" customWidth="1"/>
  </cols>
  <sheetData>
    <row r="1" spans="1:10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8</v>
      </c>
      <c r="F1" s="6" t="s">
        <v>4</v>
      </c>
      <c r="G1" s="7" t="s">
        <v>5</v>
      </c>
      <c r="H1" s="8" t="s">
        <v>6</v>
      </c>
      <c r="I1" s="8" t="s">
        <v>7</v>
      </c>
      <c r="J1" s="6" t="s">
        <v>9</v>
      </c>
    </row>
    <row r="2" spans="1:10" x14ac:dyDescent="0.3">
      <c r="A2" t="s">
        <v>10</v>
      </c>
      <c r="B2" s="2">
        <v>46047</v>
      </c>
      <c r="C2" s="1" t="s">
        <v>50</v>
      </c>
      <c r="D2" s="1" t="s">
        <v>89</v>
      </c>
      <c r="E2" s="1" t="s">
        <v>90</v>
      </c>
      <c r="F2" s="1" t="s">
        <v>91</v>
      </c>
      <c r="G2" s="1">
        <v>2</v>
      </c>
      <c r="H2" s="3">
        <v>3350000</v>
      </c>
      <c r="I2" s="4">
        <f>G2*H2</f>
        <v>6700000</v>
      </c>
      <c r="J2" s="1" t="s">
        <v>171</v>
      </c>
    </row>
    <row r="3" spans="1:10" x14ac:dyDescent="0.3">
      <c r="A3" t="s">
        <v>11</v>
      </c>
      <c r="B3" s="2">
        <v>46048</v>
      </c>
      <c r="C3" s="1" t="s">
        <v>88</v>
      </c>
      <c r="D3" s="1" t="s">
        <v>92</v>
      </c>
      <c r="E3" s="1" t="s">
        <v>90</v>
      </c>
      <c r="F3" s="1" t="s">
        <v>93</v>
      </c>
      <c r="G3" s="1">
        <v>3</v>
      </c>
      <c r="H3" s="3">
        <v>1100000</v>
      </c>
      <c r="I3" s="4">
        <f t="shared" ref="I3:I41" si="0">G3*H3</f>
        <v>3300000</v>
      </c>
      <c r="J3" s="1" t="s">
        <v>171</v>
      </c>
    </row>
    <row r="4" spans="1:10" x14ac:dyDescent="0.3">
      <c r="A4" t="s">
        <v>12</v>
      </c>
      <c r="B4" s="2">
        <v>46049</v>
      </c>
      <c r="C4" s="1" t="s">
        <v>54</v>
      </c>
      <c r="D4" s="1" t="s">
        <v>94</v>
      </c>
      <c r="E4" s="1" t="s">
        <v>95</v>
      </c>
      <c r="F4" s="1" t="s">
        <v>134</v>
      </c>
      <c r="G4" s="1">
        <v>5</v>
      </c>
      <c r="H4" s="3">
        <v>1185000</v>
      </c>
      <c r="I4" s="4">
        <f t="shared" si="0"/>
        <v>5925000</v>
      </c>
      <c r="J4" s="1" t="s">
        <v>171</v>
      </c>
    </row>
    <row r="5" spans="1:10" x14ac:dyDescent="0.3">
      <c r="A5" t="s">
        <v>13</v>
      </c>
      <c r="B5" s="2">
        <v>46050</v>
      </c>
      <c r="C5" s="1" t="s">
        <v>64</v>
      </c>
      <c r="D5" s="1" t="s">
        <v>96</v>
      </c>
      <c r="E5" s="5" t="s">
        <v>95</v>
      </c>
      <c r="F5" s="1" t="s">
        <v>133</v>
      </c>
      <c r="G5" s="1">
        <v>1</v>
      </c>
      <c r="H5" s="3">
        <v>1100000</v>
      </c>
      <c r="I5" s="4">
        <f t="shared" si="0"/>
        <v>1100000</v>
      </c>
      <c r="J5" s="1" t="s">
        <v>171</v>
      </c>
    </row>
    <row r="6" spans="1:10" x14ac:dyDescent="0.3">
      <c r="A6" t="s">
        <v>14</v>
      </c>
      <c r="B6" s="2">
        <v>46051</v>
      </c>
      <c r="C6" s="1" t="s">
        <v>65</v>
      </c>
      <c r="D6" s="1" t="s">
        <v>97</v>
      </c>
      <c r="E6" s="1" t="s">
        <v>98</v>
      </c>
      <c r="F6" s="1" t="s">
        <v>99</v>
      </c>
      <c r="G6" s="1">
        <v>4</v>
      </c>
      <c r="H6" s="3">
        <v>650000</v>
      </c>
      <c r="I6" s="4">
        <f t="shared" si="0"/>
        <v>2600000</v>
      </c>
      <c r="J6" s="1" t="s">
        <v>172</v>
      </c>
    </row>
    <row r="7" spans="1:10" x14ac:dyDescent="0.3">
      <c r="A7" t="s">
        <v>15</v>
      </c>
      <c r="B7" s="2">
        <v>46052</v>
      </c>
      <c r="C7" s="1" t="s">
        <v>66</v>
      </c>
      <c r="D7" s="1" t="s">
        <v>135</v>
      </c>
      <c r="E7" s="1" t="s">
        <v>98</v>
      </c>
      <c r="F7" s="1" t="s">
        <v>100</v>
      </c>
      <c r="G7" s="1">
        <v>3</v>
      </c>
      <c r="H7" s="3">
        <v>700000</v>
      </c>
      <c r="I7" s="4">
        <f t="shared" si="0"/>
        <v>2100000</v>
      </c>
      <c r="J7" s="1" t="s">
        <v>172</v>
      </c>
    </row>
    <row r="8" spans="1:10" x14ac:dyDescent="0.3">
      <c r="A8" t="s">
        <v>16</v>
      </c>
      <c r="B8" s="2">
        <v>46053</v>
      </c>
      <c r="C8" s="1" t="s">
        <v>67</v>
      </c>
      <c r="D8" s="1" t="s">
        <v>136</v>
      </c>
      <c r="E8" s="1" t="s">
        <v>90</v>
      </c>
      <c r="F8" s="1" t="s">
        <v>101</v>
      </c>
      <c r="G8" s="1">
        <v>6</v>
      </c>
      <c r="H8" s="3">
        <v>1135000</v>
      </c>
      <c r="I8" s="4">
        <f t="shared" si="0"/>
        <v>6810000</v>
      </c>
      <c r="J8" s="1" t="s">
        <v>172</v>
      </c>
    </row>
    <row r="9" spans="1:10" x14ac:dyDescent="0.3">
      <c r="A9" t="s">
        <v>17</v>
      </c>
      <c r="B9" s="2">
        <v>46054</v>
      </c>
      <c r="C9" s="1" t="s">
        <v>68</v>
      </c>
      <c r="D9" s="1" t="s">
        <v>137</v>
      </c>
      <c r="E9" s="1" t="s">
        <v>95</v>
      </c>
      <c r="F9" s="1" t="s">
        <v>102</v>
      </c>
      <c r="G9" s="1">
        <v>4</v>
      </c>
      <c r="H9" s="3">
        <v>1160000</v>
      </c>
      <c r="I9" s="4">
        <f t="shared" si="0"/>
        <v>4640000</v>
      </c>
      <c r="J9" s="1" t="s">
        <v>172</v>
      </c>
    </row>
    <row r="10" spans="1:10" x14ac:dyDescent="0.3">
      <c r="A10" t="s">
        <v>18</v>
      </c>
      <c r="B10" s="2">
        <v>46055</v>
      </c>
      <c r="C10" s="1" t="s">
        <v>69</v>
      </c>
      <c r="D10" s="1" t="s">
        <v>138</v>
      </c>
      <c r="E10" s="1" t="s">
        <v>95</v>
      </c>
      <c r="F10" s="1" t="s">
        <v>103</v>
      </c>
      <c r="G10" s="1">
        <v>2</v>
      </c>
      <c r="H10" s="3">
        <v>7200000</v>
      </c>
      <c r="I10" s="4">
        <f t="shared" si="0"/>
        <v>14400000</v>
      </c>
      <c r="J10" s="1" t="s">
        <v>173</v>
      </c>
    </row>
    <row r="11" spans="1:10" x14ac:dyDescent="0.3">
      <c r="A11" t="s">
        <v>19</v>
      </c>
      <c r="B11" s="2">
        <v>46056</v>
      </c>
      <c r="C11" s="1" t="s">
        <v>70</v>
      </c>
      <c r="D11" s="1" t="s">
        <v>139</v>
      </c>
      <c r="E11" s="1" t="s">
        <v>95</v>
      </c>
      <c r="F11" s="1" t="s">
        <v>104</v>
      </c>
      <c r="G11" s="1">
        <v>4</v>
      </c>
      <c r="H11" s="3">
        <v>6300000</v>
      </c>
      <c r="I11" s="4">
        <f t="shared" si="0"/>
        <v>25200000</v>
      </c>
      <c r="J11" s="1" t="s">
        <v>173</v>
      </c>
    </row>
    <row r="12" spans="1:10" x14ac:dyDescent="0.3">
      <c r="A12" t="s">
        <v>20</v>
      </c>
      <c r="B12" s="2">
        <v>46057</v>
      </c>
      <c r="C12" s="1" t="s">
        <v>60</v>
      </c>
      <c r="D12" s="1" t="s">
        <v>140</v>
      </c>
      <c r="E12" s="1" t="s">
        <v>95</v>
      </c>
      <c r="F12" s="1" t="s">
        <v>105</v>
      </c>
      <c r="G12" s="1">
        <v>5</v>
      </c>
      <c r="H12" s="3">
        <v>6100000</v>
      </c>
      <c r="I12" s="4">
        <f t="shared" si="0"/>
        <v>30500000</v>
      </c>
      <c r="J12" s="1" t="s">
        <v>173</v>
      </c>
    </row>
    <row r="13" spans="1:10" x14ac:dyDescent="0.3">
      <c r="A13" t="s">
        <v>21</v>
      </c>
      <c r="B13" s="2">
        <v>46058</v>
      </c>
      <c r="C13" s="1" t="s">
        <v>55</v>
      </c>
      <c r="D13" s="1" t="s">
        <v>141</v>
      </c>
      <c r="E13" s="1" t="s">
        <v>90</v>
      </c>
      <c r="F13" s="1" t="s">
        <v>182</v>
      </c>
      <c r="G13" s="1">
        <v>7</v>
      </c>
      <c r="H13" s="3">
        <v>1550000</v>
      </c>
      <c r="I13" s="4">
        <f t="shared" si="0"/>
        <v>10850000</v>
      </c>
      <c r="J13" s="1" t="s">
        <v>173</v>
      </c>
    </row>
    <row r="14" spans="1:10" x14ac:dyDescent="0.3">
      <c r="A14" t="s">
        <v>22</v>
      </c>
      <c r="B14" s="2">
        <v>46059</v>
      </c>
      <c r="C14" s="1" t="s">
        <v>57</v>
      </c>
      <c r="D14" s="1" t="s">
        <v>142</v>
      </c>
      <c r="E14" s="1" t="s">
        <v>90</v>
      </c>
      <c r="F14" s="1" t="s">
        <v>106</v>
      </c>
      <c r="G14" s="1">
        <v>4</v>
      </c>
      <c r="H14" s="3">
        <v>2070000</v>
      </c>
      <c r="I14" s="4">
        <f t="shared" si="0"/>
        <v>8280000</v>
      </c>
      <c r="J14" s="1" t="s">
        <v>173</v>
      </c>
    </row>
    <row r="15" spans="1:10" x14ac:dyDescent="0.3">
      <c r="A15" t="s">
        <v>23</v>
      </c>
      <c r="B15" s="2">
        <v>46060</v>
      </c>
      <c r="C15" s="1" t="s">
        <v>61</v>
      </c>
      <c r="D15" s="1" t="s">
        <v>143</v>
      </c>
      <c r="E15" s="1" t="s">
        <v>90</v>
      </c>
      <c r="F15" s="1" t="s">
        <v>107</v>
      </c>
      <c r="G15" s="1">
        <v>2</v>
      </c>
      <c r="H15" s="3">
        <v>1115000</v>
      </c>
      <c r="I15" s="4">
        <f t="shared" si="0"/>
        <v>2230000</v>
      </c>
      <c r="J15" s="1" t="s">
        <v>174</v>
      </c>
    </row>
    <row r="16" spans="1:10" x14ac:dyDescent="0.3">
      <c r="A16" t="s">
        <v>24</v>
      </c>
      <c r="B16" s="2">
        <v>46061</v>
      </c>
      <c r="C16" s="1" t="s">
        <v>71</v>
      </c>
      <c r="D16" s="1" t="s">
        <v>144</v>
      </c>
      <c r="E16" s="1" t="s">
        <v>98</v>
      </c>
      <c r="F16" s="1" t="s">
        <v>108</v>
      </c>
      <c r="G16" s="1">
        <v>3</v>
      </c>
      <c r="H16" s="3">
        <v>666000</v>
      </c>
      <c r="I16" s="4">
        <f t="shared" si="0"/>
        <v>1998000</v>
      </c>
      <c r="J16" s="1" t="s">
        <v>172</v>
      </c>
    </row>
    <row r="17" spans="1:10" x14ac:dyDescent="0.3">
      <c r="A17" t="s">
        <v>25</v>
      </c>
      <c r="B17" s="2">
        <v>46062</v>
      </c>
      <c r="C17" s="1" t="s">
        <v>52</v>
      </c>
      <c r="D17" s="1" t="s">
        <v>145</v>
      </c>
      <c r="E17" s="1" t="s">
        <v>98</v>
      </c>
      <c r="F17" s="1" t="s">
        <v>109</v>
      </c>
      <c r="G17" s="1">
        <v>5</v>
      </c>
      <c r="H17" s="3">
        <v>470000</v>
      </c>
      <c r="I17" s="4">
        <f t="shared" si="0"/>
        <v>2350000</v>
      </c>
      <c r="J17" s="1" t="s">
        <v>172</v>
      </c>
    </row>
    <row r="18" spans="1:10" x14ac:dyDescent="0.3">
      <c r="A18" t="s">
        <v>26</v>
      </c>
      <c r="B18" s="2">
        <v>46063</v>
      </c>
      <c r="C18" s="1" t="s">
        <v>59</v>
      </c>
      <c r="D18" s="1" t="s">
        <v>146</v>
      </c>
      <c r="E18" s="1" t="s">
        <v>98</v>
      </c>
      <c r="F18" s="1" t="s">
        <v>110</v>
      </c>
      <c r="G18" s="1">
        <v>8</v>
      </c>
      <c r="H18" s="3">
        <v>665000</v>
      </c>
      <c r="I18" s="4">
        <f t="shared" si="0"/>
        <v>5320000</v>
      </c>
      <c r="J18" s="1" t="s">
        <v>172</v>
      </c>
    </row>
    <row r="19" spans="1:10" x14ac:dyDescent="0.3">
      <c r="A19" t="s">
        <v>27</v>
      </c>
      <c r="B19" s="2">
        <v>46064</v>
      </c>
      <c r="C19" s="1" t="s">
        <v>72</v>
      </c>
      <c r="D19" s="1" t="s">
        <v>147</v>
      </c>
      <c r="E19" s="1" t="s">
        <v>98</v>
      </c>
      <c r="F19" s="1" t="s">
        <v>111</v>
      </c>
      <c r="G19" s="1">
        <v>7</v>
      </c>
      <c r="H19" s="3">
        <v>565000</v>
      </c>
      <c r="I19" s="4">
        <f t="shared" si="0"/>
        <v>3955000</v>
      </c>
      <c r="J19" s="1" t="s">
        <v>171</v>
      </c>
    </row>
    <row r="20" spans="1:10" x14ac:dyDescent="0.3">
      <c r="A20" t="s">
        <v>28</v>
      </c>
      <c r="B20" s="2">
        <v>46065</v>
      </c>
      <c r="C20" s="1" t="s">
        <v>62</v>
      </c>
      <c r="D20" s="1" t="s">
        <v>148</v>
      </c>
      <c r="E20" s="1" t="s">
        <v>90</v>
      </c>
      <c r="F20" s="1" t="s">
        <v>112</v>
      </c>
      <c r="G20" s="1">
        <v>4</v>
      </c>
      <c r="H20" s="3">
        <v>1400000</v>
      </c>
      <c r="I20" s="4">
        <f t="shared" si="0"/>
        <v>5600000</v>
      </c>
      <c r="J20" s="1" t="s">
        <v>171</v>
      </c>
    </row>
    <row r="21" spans="1:10" x14ac:dyDescent="0.3">
      <c r="A21" t="s">
        <v>29</v>
      </c>
      <c r="B21" s="2">
        <v>46066</v>
      </c>
      <c r="C21" s="1" t="s">
        <v>73</v>
      </c>
      <c r="D21" s="1" t="s">
        <v>149</v>
      </c>
      <c r="E21" s="1" t="s">
        <v>90</v>
      </c>
      <c r="F21" s="1" t="s">
        <v>113</v>
      </c>
      <c r="G21" s="1">
        <v>5</v>
      </c>
      <c r="H21" s="3">
        <v>1385000</v>
      </c>
      <c r="I21" s="4">
        <f t="shared" si="0"/>
        <v>6925000</v>
      </c>
      <c r="J21" s="1" t="s">
        <v>172</v>
      </c>
    </row>
    <row r="22" spans="1:10" x14ac:dyDescent="0.3">
      <c r="A22" t="s">
        <v>30</v>
      </c>
      <c r="B22" s="2">
        <v>46067</v>
      </c>
      <c r="C22" s="1" t="s">
        <v>74</v>
      </c>
      <c r="D22" s="1" t="s">
        <v>150</v>
      </c>
      <c r="E22" s="1" t="s">
        <v>90</v>
      </c>
      <c r="F22" s="1" t="s">
        <v>181</v>
      </c>
      <c r="G22" s="1">
        <v>3</v>
      </c>
      <c r="H22" s="3">
        <v>1090000</v>
      </c>
      <c r="I22" s="4">
        <f t="shared" si="0"/>
        <v>3270000</v>
      </c>
      <c r="J22" s="1" t="s">
        <v>171</v>
      </c>
    </row>
    <row r="23" spans="1:10" x14ac:dyDescent="0.3">
      <c r="A23" t="s">
        <v>31</v>
      </c>
      <c r="B23" s="2">
        <v>46068</v>
      </c>
      <c r="C23" s="1" t="s">
        <v>56</v>
      </c>
      <c r="D23" s="1" t="s">
        <v>151</v>
      </c>
      <c r="E23" s="1" t="s">
        <v>95</v>
      </c>
      <c r="F23" s="1" t="s">
        <v>114</v>
      </c>
      <c r="G23" s="1">
        <v>4</v>
      </c>
      <c r="H23" s="3">
        <v>940000</v>
      </c>
      <c r="I23" s="4">
        <f t="shared" si="0"/>
        <v>3760000</v>
      </c>
      <c r="J23" s="1" t="s">
        <v>173</v>
      </c>
    </row>
    <row r="24" spans="1:10" x14ac:dyDescent="0.3">
      <c r="A24" t="s">
        <v>32</v>
      </c>
      <c r="B24" s="2">
        <v>46069</v>
      </c>
      <c r="C24" s="1" t="s">
        <v>75</v>
      </c>
      <c r="D24" s="1" t="s">
        <v>152</v>
      </c>
      <c r="E24" s="1" t="s">
        <v>95</v>
      </c>
      <c r="F24" s="1" t="s">
        <v>115</v>
      </c>
      <c r="G24" s="1">
        <v>1</v>
      </c>
      <c r="H24" s="3">
        <v>4600000</v>
      </c>
      <c r="I24" s="4">
        <f t="shared" si="0"/>
        <v>4600000</v>
      </c>
      <c r="J24" s="1" t="s">
        <v>172</v>
      </c>
    </row>
    <row r="25" spans="1:10" x14ac:dyDescent="0.3">
      <c r="A25" t="s">
        <v>33</v>
      </c>
      <c r="B25" s="2">
        <v>46070</v>
      </c>
      <c r="C25" s="1" t="s">
        <v>53</v>
      </c>
      <c r="D25" s="1" t="s">
        <v>153</v>
      </c>
      <c r="E25" s="1" t="s">
        <v>98</v>
      </c>
      <c r="F25" s="1" t="s">
        <v>116</v>
      </c>
      <c r="G25" s="1">
        <v>3</v>
      </c>
      <c r="H25" s="3">
        <v>555000</v>
      </c>
      <c r="I25" s="4">
        <f t="shared" si="0"/>
        <v>1665000</v>
      </c>
      <c r="J25" s="1" t="s">
        <v>171</v>
      </c>
    </row>
    <row r="26" spans="1:10" x14ac:dyDescent="0.3">
      <c r="A26" t="s">
        <v>34</v>
      </c>
      <c r="B26" s="2">
        <v>46071</v>
      </c>
      <c r="C26" s="1" t="s">
        <v>76</v>
      </c>
      <c r="D26" s="1" t="s">
        <v>154</v>
      </c>
      <c r="E26" s="1" t="s">
        <v>98</v>
      </c>
      <c r="F26" s="1" t="s">
        <v>117</v>
      </c>
      <c r="G26" s="1">
        <v>4</v>
      </c>
      <c r="H26" s="3">
        <v>615000</v>
      </c>
      <c r="I26" s="4">
        <f t="shared" si="0"/>
        <v>2460000</v>
      </c>
      <c r="J26" s="1" t="s">
        <v>172</v>
      </c>
    </row>
    <row r="27" spans="1:10" x14ac:dyDescent="0.3">
      <c r="A27" t="s">
        <v>35</v>
      </c>
      <c r="B27" s="2">
        <v>46072</v>
      </c>
      <c r="C27" s="1" t="s">
        <v>77</v>
      </c>
      <c r="D27" s="1" t="s">
        <v>155</v>
      </c>
      <c r="E27" s="1" t="s">
        <v>98</v>
      </c>
      <c r="F27" s="1" t="s">
        <v>118</v>
      </c>
      <c r="G27" s="1">
        <v>3</v>
      </c>
      <c r="H27" s="3">
        <v>685000</v>
      </c>
      <c r="I27" s="4">
        <f t="shared" si="0"/>
        <v>2055000</v>
      </c>
      <c r="J27" s="1" t="s">
        <v>171</v>
      </c>
    </row>
    <row r="28" spans="1:10" x14ac:dyDescent="0.3">
      <c r="A28" t="s">
        <v>36</v>
      </c>
      <c r="B28" s="2">
        <v>46073</v>
      </c>
      <c r="C28" s="1" t="s">
        <v>66</v>
      </c>
      <c r="D28" s="1" t="s">
        <v>156</v>
      </c>
      <c r="E28" s="1" t="s">
        <v>98</v>
      </c>
      <c r="F28" s="1" t="s">
        <v>119</v>
      </c>
      <c r="G28" s="1">
        <v>4</v>
      </c>
      <c r="H28" s="3">
        <v>399000</v>
      </c>
      <c r="I28" s="4">
        <f t="shared" si="0"/>
        <v>1596000</v>
      </c>
      <c r="J28" s="1" t="s">
        <v>174</v>
      </c>
    </row>
    <row r="29" spans="1:10" x14ac:dyDescent="0.3">
      <c r="A29" t="s">
        <v>37</v>
      </c>
      <c r="B29" s="2">
        <v>46074</v>
      </c>
      <c r="C29" s="1" t="s">
        <v>78</v>
      </c>
      <c r="D29" s="1" t="s">
        <v>157</v>
      </c>
      <c r="E29" s="1" t="s">
        <v>158</v>
      </c>
      <c r="F29" s="1" t="s">
        <v>120</v>
      </c>
      <c r="G29" s="1">
        <v>2</v>
      </c>
      <c r="H29" s="3">
        <v>1900000</v>
      </c>
      <c r="I29" s="4">
        <f t="shared" si="0"/>
        <v>3800000</v>
      </c>
      <c r="J29" s="1" t="s">
        <v>172</v>
      </c>
    </row>
    <row r="30" spans="1:10" x14ac:dyDescent="0.3">
      <c r="A30" t="s">
        <v>38</v>
      </c>
      <c r="B30" s="2">
        <v>46075</v>
      </c>
      <c r="C30" s="1" t="s">
        <v>79</v>
      </c>
      <c r="D30" s="1" t="s">
        <v>159</v>
      </c>
      <c r="E30" s="1" t="s">
        <v>158</v>
      </c>
      <c r="F30" s="1" t="s">
        <v>121</v>
      </c>
      <c r="G30" s="1">
        <v>3</v>
      </c>
      <c r="H30" s="3">
        <v>1450000</v>
      </c>
      <c r="I30" s="4">
        <f t="shared" si="0"/>
        <v>4350000</v>
      </c>
      <c r="J30" s="1" t="s">
        <v>173</v>
      </c>
    </row>
    <row r="31" spans="1:10" x14ac:dyDescent="0.3">
      <c r="A31" t="s">
        <v>39</v>
      </c>
      <c r="B31" s="2">
        <v>46076</v>
      </c>
      <c r="C31" s="1" t="s">
        <v>51</v>
      </c>
      <c r="D31" s="1" t="s">
        <v>160</v>
      </c>
      <c r="E31" s="1" t="s">
        <v>158</v>
      </c>
      <c r="F31" s="1" t="s">
        <v>122</v>
      </c>
      <c r="G31" s="1">
        <v>4</v>
      </c>
      <c r="H31" s="3">
        <v>4600000</v>
      </c>
      <c r="I31" s="4">
        <f t="shared" si="0"/>
        <v>18400000</v>
      </c>
      <c r="J31" s="1" t="s">
        <v>173</v>
      </c>
    </row>
    <row r="32" spans="1:10" x14ac:dyDescent="0.3">
      <c r="A32" t="s">
        <v>40</v>
      </c>
      <c r="B32" s="2">
        <v>46077</v>
      </c>
      <c r="C32" s="1" t="s">
        <v>63</v>
      </c>
      <c r="D32" s="1" t="s">
        <v>161</v>
      </c>
      <c r="E32" s="1" t="s">
        <v>158</v>
      </c>
      <c r="F32" s="1" t="s">
        <v>123</v>
      </c>
      <c r="G32" s="1">
        <v>2</v>
      </c>
      <c r="H32" s="3">
        <v>6100000</v>
      </c>
      <c r="I32" s="4">
        <f t="shared" si="0"/>
        <v>12200000</v>
      </c>
      <c r="J32" s="1" t="s">
        <v>173</v>
      </c>
    </row>
    <row r="33" spans="1:10" x14ac:dyDescent="0.3">
      <c r="A33" t="s">
        <v>41</v>
      </c>
      <c r="B33" s="2">
        <v>46078</v>
      </c>
      <c r="C33" s="1" t="s">
        <v>80</v>
      </c>
      <c r="D33" s="1" t="s">
        <v>162</v>
      </c>
      <c r="E33" s="1" t="s">
        <v>158</v>
      </c>
      <c r="F33" s="1" t="s">
        <v>124</v>
      </c>
      <c r="G33" s="1">
        <v>3</v>
      </c>
      <c r="H33" s="3">
        <v>16200000</v>
      </c>
      <c r="I33" s="4">
        <f t="shared" si="0"/>
        <v>48600000</v>
      </c>
      <c r="J33" s="1" t="s">
        <v>173</v>
      </c>
    </row>
    <row r="34" spans="1:10" x14ac:dyDescent="0.3">
      <c r="A34" t="s">
        <v>42</v>
      </c>
      <c r="B34" s="2">
        <v>46079</v>
      </c>
      <c r="C34" s="1" t="s">
        <v>58</v>
      </c>
      <c r="D34" s="1" t="s">
        <v>163</v>
      </c>
      <c r="E34" s="1" t="s">
        <v>158</v>
      </c>
      <c r="F34" s="1" t="s">
        <v>125</v>
      </c>
      <c r="G34" s="1">
        <v>2</v>
      </c>
      <c r="H34" s="3">
        <v>21300000</v>
      </c>
      <c r="I34" s="4">
        <f t="shared" si="0"/>
        <v>42600000</v>
      </c>
      <c r="J34" s="1" t="s">
        <v>173</v>
      </c>
    </row>
    <row r="35" spans="1:10" x14ac:dyDescent="0.3">
      <c r="A35" t="s">
        <v>43</v>
      </c>
      <c r="B35" s="2">
        <v>46080</v>
      </c>
      <c r="C35" s="1" t="s">
        <v>81</v>
      </c>
      <c r="D35" s="1" t="s">
        <v>164</v>
      </c>
      <c r="E35" s="1" t="s">
        <v>158</v>
      </c>
      <c r="F35" s="1" t="s">
        <v>126</v>
      </c>
      <c r="G35" s="1">
        <v>2</v>
      </c>
      <c r="H35" s="3">
        <v>1550000</v>
      </c>
      <c r="I35" s="4">
        <f t="shared" si="0"/>
        <v>3100000</v>
      </c>
      <c r="J35" s="1" t="s">
        <v>172</v>
      </c>
    </row>
    <row r="36" spans="1:10" x14ac:dyDescent="0.3">
      <c r="A36" t="s">
        <v>44</v>
      </c>
      <c r="B36" s="2">
        <v>46081</v>
      </c>
      <c r="C36" s="1" t="s">
        <v>82</v>
      </c>
      <c r="D36" s="1" t="s">
        <v>165</v>
      </c>
      <c r="E36" s="1" t="s">
        <v>158</v>
      </c>
      <c r="F36" s="1" t="s">
        <v>127</v>
      </c>
      <c r="G36" s="1">
        <v>3</v>
      </c>
      <c r="H36" s="3">
        <v>5800000</v>
      </c>
      <c r="I36" s="4">
        <f t="shared" si="0"/>
        <v>17400000</v>
      </c>
      <c r="J36" s="1" t="s">
        <v>173</v>
      </c>
    </row>
    <row r="37" spans="1:10" x14ac:dyDescent="0.3">
      <c r="A37" t="s">
        <v>45</v>
      </c>
      <c r="B37" s="2">
        <v>46082</v>
      </c>
      <c r="C37" s="1" t="s">
        <v>83</v>
      </c>
      <c r="D37" s="1" t="s">
        <v>166</v>
      </c>
      <c r="E37" s="1" t="s">
        <v>158</v>
      </c>
      <c r="F37" s="1" t="s">
        <v>128</v>
      </c>
      <c r="G37" s="1">
        <v>2</v>
      </c>
      <c r="H37" s="3">
        <v>3400000</v>
      </c>
      <c r="I37" s="4">
        <f t="shared" si="0"/>
        <v>6800000</v>
      </c>
      <c r="J37" s="1" t="s">
        <v>171</v>
      </c>
    </row>
    <row r="38" spans="1:10" x14ac:dyDescent="0.3">
      <c r="A38" t="s">
        <v>46</v>
      </c>
      <c r="B38" s="2">
        <v>46083</v>
      </c>
      <c r="C38" s="1" t="s">
        <v>84</v>
      </c>
      <c r="D38" s="1" t="s">
        <v>167</v>
      </c>
      <c r="E38" s="1" t="s">
        <v>95</v>
      </c>
      <c r="F38" s="1" t="s">
        <v>129</v>
      </c>
      <c r="G38" s="1">
        <v>4</v>
      </c>
      <c r="H38" s="3">
        <v>1185000</v>
      </c>
      <c r="I38" s="4">
        <f t="shared" si="0"/>
        <v>4740000</v>
      </c>
      <c r="J38" s="1" t="s">
        <v>174</v>
      </c>
    </row>
    <row r="39" spans="1:10" x14ac:dyDescent="0.3">
      <c r="A39" t="s">
        <v>47</v>
      </c>
      <c r="B39" s="2">
        <v>46084</v>
      </c>
      <c r="C39" s="1" t="s">
        <v>85</v>
      </c>
      <c r="D39" s="1" t="s">
        <v>168</v>
      </c>
      <c r="E39" s="1" t="s">
        <v>158</v>
      </c>
      <c r="F39" s="1" t="s">
        <v>130</v>
      </c>
      <c r="G39" s="1">
        <v>2</v>
      </c>
      <c r="H39" s="3">
        <v>10200000</v>
      </c>
      <c r="I39" s="4">
        <f t="shared" si="0"/>
        <v>20400000</v>
      </c>
      <c r="J39" s="1" t="s">
        <v>173</v>
      </c>
    </row>
    <row r="40" spans="1:10" x14ac:dyDescent="0.3">
      <c r="A40" t="s">
        <v>48</v>
      </c>
      <c r="B40" s="2">
        <v>46085</v>
      </c>
      <c r="C40" s="1" t="s">
        <v>86</v>
      </c>
      <c r="D40" s="1" t="s">
        <v>169</v>
      </c>
      <c r="E40" s="1" t="s">
        <v>95</v>
      </c>
      <c r="F40" s="1" t="s">
        <v>131</v>
      </c>
      <c r="G40" s="1">
        <v>2</v>
      </c>
      <c r="H40" s="3">
        <v>4600000</v>
      </c>
      <c r="I40" s="4">
        <f t="shared" si="0"/>
        <v>9200000</v>
      </c>
      <c r="J40" s="1" t="s">
        <v>173</v>
      </c>
    </row>
    <row r="41" spans="1:10" x14ac:dyDescent="0.3">
      <c r="A41" t="s">
        <v>49</v>
      </c>
      <c r="B41" s="2">
        <v>46086</v>
      </c>
      <c r="C41" s="1" t="s">
        <v>87</v>
      </c>
      <c r="D41" s="1" t="s">
        <v>170</v>
      </c>
      <c r="E41" s="1" t="s">
        <v>90</v>
      </c>
      <c r="F41" s="1" t="s">
        <v>132</v>
      </c>
      <c r="G41" s="1">
        <v>3</v>
      </c>
      <c r="H41" s="3">
        <v>815000</v>
      </c>
      <c r="I41" s="4">
        <f t="shared" si="0"/>
        <v>2445000</v>
      </c>
      <c r="J41" s="1" t="s">
        <v>174</v>
      </c>
    </row>
    <row r="42" spans="1:10" x14ac:dyDescent="0.3">
      <c r="F42" s="1"/>
    </row>
  </sheetData>
  <phoneticPr fontId="1" type="noConversion"/>
  <conditionalFormatting sqref="G1:G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{7F782AC2-940C-40CA-92B0-96600F22322F}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782AC2-940C-40CA-92B0-96600F2232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  Dashboard</vt:lpstr>
      <vt:lpstr>Category_Analysis</vt:lpstr>
      <vt:lpstr>Sheet5</vt:lpstr>
      <vt:lpstr>Sales_Master_Data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Aanchal murmu</dc:creator>
  <cp:lastModifiedBy>Aayan Murmu</cp:lastModifiedBy>
  <dcterms:created xsi:type="dcterms:W3CDTF">2026-03-25T10:02:08Z</dcterms:created>
  <dcterms:modified xsi:type="dcterms:W3CDTF">2026-04-01T19:38:56Z</dcterms:modified>
</cp:coreProperties>
</file>